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sou4989\Downloads\"/>
    </mc:Choice>
  </mc:AlternateContent>
  <xr:revisionPtr revIDLastSave="0" documentId="8_{FED93110-D33F-4682-A2BA-15DD7DA4C9C4}" xr6:coauthVersionLast="47" xr6:coauthVersionMax="47" xr10:uidLastSave="{00000000-0000-0000-0000-000000000000}"/>
  <bookViews>
    <workbookView xWindow="-120" yWindow="-120" windowWidth="29040" windowHeight="15720" firstSheet="2" activeTab="3" xr2:uid="{00000000-000D-0000-FFFF-FFFF00000000}"/>
  </bookViews>
  <sheets>
    <sheet name="引張" sheetId="4" r:id="rId1"/>
    <sheet name="引張応力ひずみ線図" sheetId="6" r:id="rId2"/>
    <sheet name="引張縦ひずみ横ひずみ" sheetId="7" r:id="rId3"/>
    <sheet name="はり" sheetId="1" r:id="rId4"/>
    <sheet name="はり荷重たわみ線図" sheetId="9" r:id="rId5"/>
    <sheet name="はり応力ひずみ線図 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6" i="1"/>
  <c r="G15" i="1"/>
  <c r="G14" i="1"/>
  <c r="G13" i="1"/>
  <c r="G12" i="1"/>
  <c r="G11" i="1"/>
  <c r="G10" i="1"/>
  <c r="G9" i="1"/>
  <c r="G8" i="1"/>
  <c r="G7" i="1"/>
  <c r="E9" i="1"/>
  <c r="E10" i="1"/>
  <c r="E11" i="1"/>
  <c r="E12" i="1"/>
  <c r="E13" i="1"/>
  <c r="E14" i="1"/>
  <c r="E15" i="1"/>
  <c r="F15" i="1" s="1"/>
  <c r="E16" i="1"/>
  <c r="F16" i="1" s="1"/>
  <c r="E17" i="1"/>
  <c r="F17" i="1" s="1"/>
  <c r="F10" i="1"/>
  <c r="F11" i="1"/>
  <c r="F12" i="1"/>
  <c r="F13" i="1"/>
  <c r="F14" i="1"/>
  <c r="F8" i="1"/>
  <c r="F9" i="1"/>
  <c r="F7" i="1"/>
  <c r="E8" i="1"/>
  <c r="E7" i="1"/>
  <c r="D2" i="1"/>
  <c r="C2" i="1"/>
  <c r="E7" i="4"/>
  <c r="E8" i="4"/>
  <c r="E9" i="4"/>
  <c r="E10" i="4"/>
  <c r="E11" i="4"/>
  <c r="E12" i="4"/>
  <c r="E13" i="4"/>
  <c r="E14" i="4"/>
  <c r="E15" i="4"/>
  <c r="E6" i="4"/>
  <c r="E5" i="4"/>
  <c r="C2" i="4"/>
  <c r="F5" i="4"/>
  <c r="G2" i="4"/>
  <c r="D11" i="1" l="1"/>
  <c r="D17" i="1"/>
  <c r="C4" i="1"/>
  <c r="D7" i="1"/>
  <c r="D8" i="1"/>
  <c r="D9" i="1"/>
  <c r="D10" i="1"/>
  <c r="D12" i="1"/>
  <c r="D13" i="1"/>
  <c r="D14" i="1"/>
  <c r="D15" i="1"/>
  <c r="D16" i="1"/>
  <c r="F6" i="4"/>
  <c r="F7" i="4"/>
  <c r="F8" i="4"/>
  <c r="F9" i="4"/>
  <c r="F10" i="4"/>
  <c r="F11" i="4"/>
  <c r="F12" i="4"/>
  <c r="F13" i="4"/>
  <c r="F14" i="4"/>
  <c r="F15" i="4"/>
  <c r="D5" i="4"/>
  <c r="D6" i="4"/>
  <c r="D7" i="4"/>
  <c r="D8" i="4"/>
  <c r="D9" i="4"/>
  <c r="D10" i="4"/>
  <c r="D11" i="4"/>
  <c r="D12" i="4"/>
  <c r="D13" i="4"/>
  <c r="D14" i="4"/>
  <c r="D15" i="4"/>
  <c r="G15" i="4"/>
  <c r="G14" i="4"/>
  <c r="G13" i="4"/>
  <c r="G12" i="4"/>
  <c r="G11" i="4"/>
  <c r="G10" i="4"/>
  <c r="G9" i="4"/>
  <c r="G8" i="4"/>
  <c r="G7" i="4"/>
  <c r="G6" i="4"/>
  <c r="G5" i="4"/>
  <c r="F2" i="4" l="1"/>
  <c r="H2" i="1" l="1"/>
  <c r="H14" i="1" l="1"/>
  <c r="H15" i="1"/>
  <c r="H9" i="1"/>
  <c r="H10" i="1"/>
  <c r="H11" i="1"/>
  <c r="H12" i="1"/>
  <c r="H13" i="1"/>
  <c r="H16" i="1"/>
  <c r="H17" i="1"/>
  <c r="H8" i="1"/>
  <c r="H7" i="1"/>
</calcChain>
</file>

<file path=xl/sharedStrings.xml><?xml version="1.0" encoding="utf-8"?>
<sst xmlns="http://schemas.openxmlformats.org/spreadsheetml/2006/main" count="30" uniqueCount="30">
  <si>
    <t>n</t>
    <phoneticPr fontId="1"/>
  </si>
  <si>
    <r>
      <t>e</t>
    </r>
    <r>
      <rPr>
        <vertAlign val="subscript"/>
        <sz val="12"/>
        <rFont val="Symbol"/>
        <family val="1"/>
        <charset val="2"/>
      </rPr>
      <t>1</t>
    </r>
    <phoneticPr fontId="1"/>
  </si>
  <si>
    <r>
      <t>e</t>
    </r>
    <r>
      <rPr>
        <vertAlign val="subscript"/>
        <sz val="12"/>
        <rFont val="Symbol"/>
        <family val="1"/>
        <charset val="2"/>
      </rPr>
      <t>2</t>
    </r>
    <phoneticPr fontId="1"/>
  </si>
  <si>
    <r>
      <t>ε</t>
    </r>
    <r>
      <rPr>
        <i/>
        <vertAlign val="subscript"/>
        <sz val="12"/>
        <rFont val="Times New Roman"/>
        <family val="1"/>
      </rPr>
      <t>S</t>
    </r>
    <r>
      <rPr>
        <sz val="11"/>
        <rFont val="Times New Roman"/>
        <family val="1"/>
      </rPr>
      <t/>
    </r>
    <phoneticPr fontId="1"/>
  </si>
  <si>
    <r>
      <t xml:space="preserve">b
</t>
    </r>
    <r>
      <rPr>
        <sz val="12"/>
        <rFont val="Times New Roman"/>
        <family val="1"/>
      </rPr>
      <t>[ mm ]</t>
    </r>
    <phoneticPr fontId="1"/>
  </si>
  <si>
    <r>
      <t xml:space="preserve">t
</t>
    </r>
    <r>
      <rPr>
        <sz val="12"/>
        <rFont val="Times New Roman"/>
        <family val="1"/>
      </rPr>
      <t>[ mm ]</t>
    </r>
    <phoneticPr fontId="1"/>
  </si>
  <si>
    <r>
      <t xml:space="preserve">A
</t>
    </r>
    <r>
      <rPr>
        <sz val="12"/>
        <rFont val="Times New Roman"/>
        <family val="1"/>
      </rPr>
      <t>[ mm</t>
    </r>
    <r>
      <rPr>
        <vertAlign val="superscript"/>
        <sz val="12"/>
        <rFont val="Times New Roman"/>
        <family val="1"/>
      </rPr>
      <t xml:space="preserve">2 </t>
    </r>
    <r>
      <rPr>
        <sz val="12"/>
        <rFont val="Times New Roman"/>
        <family val="1"/>
      </rPr>
      <t>]</t>
    </r>
    <phoneticPr fontId="1"/>
  </si>
  <si>
    <r>
      <t xml:space="preserve">E
</t>
    </r>
    <r>
      <rPr>
        <sz val="12"/>
        <rFont val="Times New Roman"/>
        <family val="1"/>
      </rPr>
      <t>[ MPa ]</t>
    </r>
    <phoneticPr fontId="1"/>
  </si>
  <si>
    <r>
      <t xml:space="preserve">P
</t>
    </r>
    <r>
      <rPr>
        <sz val="12"/>
        <rFont val="Times New Roman"/>
        <family val="1"/>
      </rPr>
      <t>[ kgf ]</t>
    </r>
    <phoneticPr fontId="1"/>
  </si>
  <si>
    <r>
      <t>e</t>
    </r>
    <r>
      <rPr>
        <vertAlign val="subscript"/>
        <sz val="12"/>
        <rFont val="Symbol"/>
        <family val="1"/>
        <charset val="2"/>
      </rPr>
      <t>1</t>
    </r>
    <r>
      <rPr>
        <sz val="12"/>
        <rFont val="Times New Roman"/>
        <family val="1"/>
      </rPr>
      <t xml:space="preserve">
 ×10</t>
    </r>
    <r>
      <rPr>
        <vertAlign val="superscript"/>
        <sz val="12"/>
        <rFont val="Symbol"/>
        <family val="1"/>
        <charset val="2"/>
      </rPr>
      <t>-</t>
    </r>
    <r>
      <rPr>
        <vertAlign val="superscript"/>
        <sz val="12"/>
        <rFont val="Times New Roman"/>
        <family val="1"/>
      </rPr>
      <t>6</t>
    </r>
    <phoneticPr fontId="1"/>
  </si>
  <si>
    <r>
      <t>e</t>
    </r>
    <r>
      <rPr>
        <vertAlign val="subscript"/>
        <sz val="12"/>
        <rFont val="Symbol"/>
        <family val="1"/>
        <charset val="2"/>
      </rPr>
      <t>2</t>
    </r>
    <r>
      <rPr>
        <sz val="12"/>
        <rFont val="Times New Roman"/>
        <family val="1"/>
      </rPr>
      <t xml:space="preserve">
 ×10</t>
    </r>
    <r>
      <rPr>
        <vertAlign val="superscript"/>
        <sz val="12"/>
        <rFont val="Symbol"/>
        <family val="1"/>
        <charset val="2"/>
      </rPr>
      <t>-</t>
    </r>
    <r>
      <rPr>
        <vertAlign val="superscript"/>
        <sz val="12"/>
        <rFont val="Times New Roman"/>
        <family val="1"/>
      </rPr>
      <t>6</t>
    </r>
    <phoneticPr fontId="1"/>
  </si>
  <si>
    <r>
      <t>P</t>
    </r>
    <r>
      <rPr>
        <sz val="12"/>
        <rFont val="Times New Roman"/>
        <family val="1"/>
      </rPr>
      <t xml:space="preserve"> 
[ N ]</t>
    </r>
    <phoneticPr fontId="1"/>
  </si>
  <si>
    <r>
      <t>s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
[ MPa ]</t>
    </r>
    <phoneticPr fontId="1"/>
  </si>
  <si>
    <r>
      <t>b</t>
    </r>
    <r>
      <rPr>
        <sz val="12"/>
        <rFont val="Times New Roman"/>
        <family val="1"/>
      </rPr>
      <t xml:space="preserve"> [ mm ]</t>
    </r>
    <phoneticPr fontId="1"/>
  </si>
  <si>
    <r>
      <t>h</t>
    </r>
    <r>
      <rPr>
        <sz val="12"/>
        <rFont val="Times New Roman"/>
        <family val="1"/>
      </rPr>
      <t xml:space="preserve"> [ mm ]</t>
    </r>
    <phoneticPr fontId="1"/>
  </si>
  <si>
    <r>
      <t>I</t>
    </r>
    <r>
      <rPr>
        <i/>
        <vertAlign val="subscript"/>
        <sz val="12"/>
        <rFont val="Times New Roman"/>
        <family val="1"/>
      </rPr>
      <t>y</t>
    </r>
    <r>
      <rPr>
        <sz val="12"/>
        <rFont val="Times New Roman"/>
        <family val="1"/>
      </rPr>
      <t xml:space="preserve"> [ mm</t>
    </r>
    <r>
      <rPr>
        <vertAlign val="super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]</t>
    </r>
    <phoneticPr fontId="1"/>
  </si>
  <si>
    <r>
      <t>Z</t>
    </r>
    <r>
      <rPr>
        <sz val="12"/>
        <rFont val="Times New Roman"/>
        <family val="1"/>
      </rPr>
      <t xml:space="preserve"> [ mm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 ]</t>
    </r>
    <phoneticPr fontId="1"/>
  </si>
  <si>
    <r>
      <t>l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[ mm ]</t>
    </r>
    <phoneticPr fontId="1"/>
  </si>
  <si>
    <r>
      <t xml:space="preserve">l </t>
    </r>
    <r>
      <rPr>
        <sz val="12"/>
        <rFont val="Times New Roman"/>
        <family val="1"/>
      </rPr>
      <t>[ mm ]</t>
    </r>
    <phoneticPr fontId="1"/>
  </si>
  <si>
    <r>
      <t>l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[ mm ]</t>
    </r>
    <phoneticPr fontId="1"/>
  </si>
  <si>
    <r>
      <t>x</t>
    </r>
    <r>
      <rPr>
        <i/>
        <vertAlign val="subscript"/>
        <sz val="12"/>
        <rFont val="Times New Roman"/>
        <family val="1"/>
      </rPr>
      <t>S</t>
    </r>
    <r>
      <rPr>
        <i/>
        <sz val="12"/>
        <rFont val="Times New Roman"/>
        <family val="1"/>
      </rPr>
      <t xml:space="preserve"> </t>
    </r>
    <r>
      <rPr>
        <sz val="12"/>
        <rFont val="Times New Roman"/>
        <family val="1"/>
      </rPr>
      <t>[ mm ]</t>
    </r>
    <phoneticPr fontId="1"/>
  </si>
  <si>
    <r>
      <t>x</t>
    </r>
    <r>
      <rPr>
        <i/>
        <vertAlign val="subscript"/>
        <sz val="12"/>
        <rFont val="Times New Roman"/>
        <family val="1"/>
      </rPr>
      <t>D</t>
    </r>
    <r>
      <rPr>
        <sz val="12"/>
        <rFont val="Times New Roman"/>
        <family val="1"/>
      </rPr>
      <t xml:space="preserve"> [ mm ]</t>
    </r>
    <phoneticPr fontId="1"/>
  </si>
  <si>
    <r>
      <t>W</t>
    </r>
    <r>
      <rPr>
        <sz val="12"/>
        <rFont val="Times New Roman"/>
        <family val="1"/>
      </rPr>
      <t xml:space="preserve"> [ kgf ]</t>
    </r>
    <phoneticPr fontId="1"/>
  </si>
  <si>
    <r>
      <t>ε</t>
    </r>
    <r>
      <rPr>
        <i/>
        <vertAlign val="subscript"/>
        <sz val="12"/>
        <rFont val="Times New Roman"/>
        <family val="1"/>
      </rPr>
      <t>S</t>
    </r>
    <r>
      <rPr>
        <vertAlign val="subscript"/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 </t>
    </r>
    <r>
      <rPr>
        <sz val="12"/>
        <rFont val="ＭＳ Ｐ明朝"/>
        <family val="1"/>
        <charset val="128"/>
      </rPr>
      <t>×</t>
    </r>
    <r>
      <rPr>
        <sz val="12"/>
        <rFont val="Times New Roman"/>
        <family val="1"/>
      </rPr>
      <t>10</t>
    </r>
    <r>
      <rPr>
        <vertAlign val="superscript"/>
        <sz val="12"/>
        <rFont val="Symbol"/>
        <family val="1"/>
        <charset val="2"/>
      </rPr>
      <t>-</t>
    </r>
    <r>
      <rPr>
        <vertAlign val="superscript"/>
        <sz val="12"/>
        <rFont val="Times New Roman"/>
        <family val="1"/>
      </rPr>
      <t>6</t>
    </r>
    <phoneticPr fontId="1"/>
  </si>
  <si>
    <r>
      <t>δ</t>
    </r>
    <r>
      <rPr>
        <i/>
        <vertAlign val="subscript"/>
        <sz val="12"/>
        <rFont val="Times New Roman"/>
        <family val="1"/>
      </rPr>
      <t>D</t>
    </r>
    <r>
      <rPr>
        <i/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[ mm ]
</t>
    </r>
    <r>
      <rPr>
        <sz val="12"/>
        <rFont val="游ゴシック Regular"/>
        <family val="3"/>
        <charset val="128"/>
      </rPr>
      <t>実測値</t>
    </r>
    <rPh sb="9" eb="11">
      <t>ジッソク</t>
    </rPh>
    <rPh sb="11" eb="12">
      <t>チ</t>
    </rPh>
    <phoneticPr fontId="1"/>
  </si>
  <si>
    <r>
      <t>W</t>
    </r>
    <r>
      <rPr>
        <sz val="12"/>
        <rFont val="Times New Roman"/>
        <family val="1"/>
      </rPr>
      <t xml:space="preserve"> [ N ]</t>
    </r>
    <phoneticPr fontId="1"/>
  </si>
  <si>
    <r>
      <t>M</t>
    </r>
    <r>
      <rPr>
        <i/>
        <vertAlign val="subscript"/>
        <sz val="12"/>
        <rFont val="Times New Roman"/>
        <family val="1"/>
      </rPr>
      <t>S</t>
    </r>
    <r>
      <rPr>
        <sz val="12"/>
        <rFont val="Times New Roman"/>
        <family val="1"/>
      </rPr>
      <t xml:space="preserve"> [ N</t>
    </r>
    <r>
      <rPr>
        <sz val="12"/>
        <rFont val="ＭＳ ゴシック"/>
        <family val="3"/>
        <charset val="128"/>
      </rPr>
      <t>･</t>
    </r>
    <r>
      <rPr>
        <sz val="12"/>
        <rFont val="Times New Roman"/>
        <family val="1"/>
      </rPr>
      <t>mm ]</t>
    </r>
    <phoneticPr fontId="1"/>
  </si>
  <si>
    <r>
      <t>σ</t>
    </r>
    <r>
      <rPr>
        <i/>
        <vertAlign val="subscript"/>
        <sz val="12"/>
        <rFont val="Times New Roman"/>
        <family val="1"/>
      </rPr>
      <t>S</t>
    </r>
    <r>
      <rPr>
        <sz val="12"/>
        <rFont val="Times New Roman"/>
        <family val="1"/>
      </rPr>
      <t xml:space="preserve">  [ MPa ]</t>
    </r>
    <phoneticPr fontId="1"/>
  </si>
  <si>
    <r>
      <t>δ</t>
    </r>
    <r>
      <rPr>
        <i/>
        <vertAlign val="subscript"/>
        <sz val="12"/>
        <rFont val="Times New Roman"/>
        <family val="1"/>
      </rPr>
      <t>D</t>
    </r>
    <r>
      <rPr>
        <i/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[ mm ]
</t>
    </r>
    <r>
      <rPr>
        <sz val="12"/>
        <rFont val="游ゴシック Regular"/>
        <charset val="128"/>
      </rPr>
      <t>計算値</t>
    </r>
    <rPh sb="10" eb="13">
      <t>ケイサンチ</t>
    </rPh>
    <phoneticPr fontId="1"/>
  </si>
  <si>
    <r>
      <t>E</t>
    </r>
    <r>
      <rPr>
        <sz val="12"/>
        <rFont val="Times New Roman"/>
        <family val="1"/>
      </rPr>
      <t xml:space="preserve"> [ MPa ]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</si>
</sst>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_ "/>
    <numFmt numFmtId="179" formatCode="0.000_ "/>
    <numFmt numFmtId="180" formatCode="0.000000_ "/>
  </numFmts>
  <fonts count="2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i/>
      <sz val="12"/>
      <name val="Symbol"/>
      <family val="1"/>
      <charset val="2"/>
    </font>
    <font>
      <vertAlign val="superscript"/>
      <sz val="12"/>
      <name val="Symbol"/>
      <family val="1"/>
      <charset val="2"/>
    </font>
    <font>
      <vertAlign val="superscript"/>
      <sz val="12"/>
      <name val="Times New Roman"/>
      <family val="1"/>
    </font>
    <font>
      <vertAlign val="subscript"/>
      <sz val="12"/>
      <name val="Symbol"/>
      <family val="1"/>
      <charset val="2"/>
    </font>
    <font>
      <vertAlign val="subscript"/>
      <sz val="12"/>
      <name val="Times New Roman"/>
      <family val="1"/>
    </font>
    <font>
      <i/>
      <vertAlign val="subscript"/>
      <sz val="12"/>
      <name val="Times New Roman"/>
      <family val="1"/>
    </font>
    <font>
      <sz val="12"/>
      <name val="ＭＳ Ｐ明朝"/>
      <family val="1"/>
      <charset val="128"/>
    </font>
    <font>
      <sz val="12"/>
      <name val="ＭＳ ゴシック"/>
      <family val="3"/>
      <charset val="128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游ゴシック Regular"/>
      <family val="3"/>
      <charset val="128"/>
    </font>
    <font>
      <sz val="12"/>
      <name val="游ゴシック Regular"/>
      <charset val="128"/>
    </font>
    <font>
      <b/>
      <sz val="12"/>
      <name val="Symbol"/>
      <family val="1"/>
      <charset val="2"/>
    </font>
    <font>
      <sz val="12"/>
      <color theme="1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Border="0"/>
  </cellStyleXfs>
  <cellXfs count="30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vertical="center"/>
    </xf>
    <xf numFmtId="176" fontId="4" fillId="0" borderId="0" xfId="0" applyNumberFormat="1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2" borderId="6" xfId="0" applyFont="1" applyFill="1" applyBorder="1" applyAlignment="1" applyProtection="1">
      <alignment vertical="center"/>
      <protection locked="0"/>
    </xf>
    <xf numFmtId="1" fontId="3" fillId="2" borderId="6" xfId="0" applyNumberFormat="1" applyFont="1" applyFill="1" applyBorder="1" applyAlignment="1" applyProtection="1">
      <alignment vertical="center"/>
      <protection locked="0"/>
    </xf>
    <xf numFmtId="2" fontId="3" fillId="2" borderId="6" xfId="0" applyNumberFormat="1" applyFont="1" applyFill="1" applyBorder="1" applyAlignment="1" applyProtection="1">
      <alignment vertical="center"/>
      <protection locked="0"/>
    </xf>
    <xf numFmtId="176" fontId="4" fillId="3" borderId="1" xfId="0" applyNumberFormat="1" applyFont="1" applyFill="1" applyBorder="1" applyAlignment="1">
      <alignment vertical="center"/>
    </xf>
    <xf numFmtId="177" fontId="3" fillId="2" borderId="6" xfId="0" applyNumberFormat="1" applyFont="1" applyFill="1" applyBorder="1" applyAlignment="1" applyProtection="1">
      <alignment vertical="center"/>
      <protection locked="0"/>
    </xf>
    <xf numFmtId="176" fontId="4" fillId="3" borderId="3" xfId="0" applyNumberFormat="1" applyFont="1" applyFill="1" applyBorder="1" applyAlignment="1">
      <alignment vertical="center"/>
    </xf>
    <xf numFmtId="2" fontId="4" fillId="3" borderId="3" xfId="0" applyNumberFormat="1" applyFont="1" applyFill="1" applyBorder="1" applyAlignment="1">
      <alignment vertical="center"/>
    </xf>
    <xf numFmtId="177" fontId="4" fillId="3" borderId="3" xfId="0" applyNumberFormat="1" applyFont="1" applyFill="1" applyBorder="1" applyAlignment="1">
      <alignment vertical="center"/>
    </xf>
    <xf numFmtId="1" fontId="14" fillId="0" borderId="2" xfId="0" applyNumberFormat="1" applyFont="1" applyBorder="1" applyAlignment="1">
      <alignment vertical="center"/>
    </xf>
    <xf numFmtId="180" fontId="14" fillId="0" borderId="3" xfId="0" applyNumberFormat="1" applyFont="1" applyBorder="1" applyAlignment="1">
      <alignment vertical="center"/>
    </xf>
    <xf numFmtId="178" fontId="15" fillId="0" borderId="3" xfId="0" applyNumberFormat="1" applyFont="1" applyBorder="1" applyAlignment="1">
      <alignment vertical="center"/>
    </xf>
    <xf numFmtId="179" fontId="15" fillId="0" borderId="3" xfId="0" applyNumberFormat="1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2" fontId="14" fillId="0" borderId="1" xfId="0" applyNumberFormat="1" applyFont="1" applyBorder="1" applyAlignment="1">
      <alignment vertical="center"/>
    </xf>
    <xf numFmtId="178" fontId="18" fillId="2" borderId="6" xfId="0" applyNumberFormat="1" applyFont="1" applyFill="1" applyBorder="1" applyAlignment="1" applyProtection="1">
      <alignment vertical="center"/>
      <protection locked="0"/>
    </xf>
    <xf numFmtId="1" fontId="18" fillId="2" borderId="6" xfId="0" applyNumberFormat="1" applyFont="1" applyFill="1" applyBorder="1" applyAlignment="1" applyProtection="1">
      <alignment vertical="center"/>
      <protection locked="0"/>
    </xf>
    <xf numFmtId="180" fontId="19" fillId="0" borderId="3" xfId="0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ustomXml" Target="../customXml/item1.xml"/><Relationship Id="rId5" Type="http://schemas.openxmlformats.org/officeDocument/2006/relationships/chartsheet" Target="chartsheets/sheet3.xml"/><Relationship Id="rId10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916666666666671E-2"/>
          <c:y val="4.0404040404040407E-2"/>
          <c:w val="0.88958333333333328"/>
          <c:h val="0.873737373737373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2.2208549323425104E-2"/>
                  <c:y val="-0.15075939114817863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ja-JP"/>
                </a:p>
              </c:txPr>
            </c:trendlineLbl>
          </c:trendline>
          <c:xVal>
            <c:numRef>
              <c:f>引張!$F$6:$F$15</c:f>
              <c:numCache>
                <c:formatCode>0.000000_ </c:formatCode>
                <c:ptCount val="10"/>
                <c:pt idx="0">
                  <c:v>-9.0000000000000002E-6</c:v>
                </c:pt>
                <c:pt idx="1">
                  <c:v>1.8E-5</c:v>
                </c:pt>
                <c:pt idx="2">
                  <c:v>4.9999999999999996E-5</c:v>
                </c:pt>
                <c:pt idx="3">
                  <c:v>8.099999999999999E-5</c:v>
                </c:pt>
                <c:pt idx="4">
                  <c:v>1.1499999999999999E-4</c:v>
                </c:pt>
                <c:pt idx="5">
                  <c:v>1.4999999999999999E-4</c:v>
                </c:pt>
                <c:pt idx="6">
                  <c:v>1.85E-4</c:v>
                </c:pt>
                <c:pt idx="7">
                  <c:v>2.1999999999999998E-4</c:v>
                </c:pt>
                <c:pt idx="8">
                  <c:v>2.5299999999999997E-4</c:v>
                </c:pt>
                <c:pt idx="9">
                  <c:v>2.8499999999999999E-4</c:v>
                </c:pt>
              </c:numCache>
            </c:numRef>
          </c:xVal>
          <c:yVal>
            <c:numRef>
              <c:f>引張!$E$6:$E$15</c:f>
              <c:numCache>
                <c:formatCode>0.0</c:formatCode>
                <c:ptCount val="10"/>
                <c:pt idx="0">
                  <c:v>6.8337424294455529</c:v>
                </c:pt>
                <c:pt idx="1">
                  <c:v>13.667484858891106</c:v>
                </c:pt>
                <c:pt idx="2">
                  <c:v>20.501227288336658</c:v>
                </c:pt>
                <c:pt idx="3">
                  <c:v>27.334969717782212</c:v>
                </c:pt>
                <c:pt idx="4">
                  <c:v>34.168712147227765</c:v>
                </c:pt>
                <c:pt idx="5">
                  <c:v>41.002454576673316</c:v>
                </c:pt>
                <c:pt idx="6">
                  <c:v>47.836197006118873</c:v>
                </c:pt>
                <c:pt idx="7">
                  <c:v>54.669939435564423</c:v>
                </c:pt>
                <c:pt idx="8">
                  <c:v>61.503681865009973</c:v>
                </c:pt>
                <c:pt idx="9">
                  <c:v>68.337424294455531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BD-466A-B582-FEB22B20CFC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引張!$F$5</c:f>
              <c:numCache>
                <c:formatCode>0.000000_ </c:formatCode>
                <c:ptCount val="1"/>
                <c:pt idx="0">
                  <c:v>0</c:v>
                </c:pt>
              </c:numCache>
            </c:numRef>
          </c:xVal>
          <c:yVal>
            <c:numRef>
              <c:f>引張!$E$5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BD-466A-B582-FEB22B20C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24224"/>
        <c:axId val="107134976"/>
      </c:scatterChart>
      <c:valAx>
        <c:axId val="1071242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ゴシック"/>
                    <a:ea typeface="ＭＳ ゴシック"/>
                    <a:cs typeface="ＭＳ 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ひずみ　</a:t>
                </a:r>
                <a:r>
                  <a:rPr lang="ja-JP" altLang="en-US" sz="1100" b="0" i="1" u="none" strike="noStrike" baseline="0">
                    <a:solidFill>
                      <a:srgbClr val="000000"/>
                    </a:solidFill>
                    <a:latin typeface="Symbol"/>
                    <a:ea typeface="ＭＳ ゴシック"/>
                  </a:rPr>
                  <a:t>e</a:t>
                </a:r>
                <a:r>
                  <a:rPr lang="ja-JP" altLang="en-US" sz="1100" b="0" i="0" u="none" strike="noStrike" baseline="-25000">
                    <a:solidFill>
                      <a:srgbClr val="000000"/>
                    </a:solidFill>
                    <a:latin typeface="Symbol"/>
                    <a:ea typeface="ＭＳ ゴシック"/>
                  </a:rPr>
                  <a:t>1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6981233152945867"/>
              <c:y val="0.95129831108467255"/>
            </c:manualLayout>
          </c:layout>
          <c:overlay val="0"/>
          <c:spPr>
            <a:noFill/>
            <a:ln w="25400">
              <a:noFill/>
            </a:ln>
          </c:spPr>
        </c:title>
        <c:numFmt formatCode="0.0E+0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Symbol" pitchFamily="2" charset="2"/>
                <a:ea typeface="Times New Roman"/>
                <a:cs typeface="Times New Roman"/>
              </a:defRPr>
            </a:pPr>
            <a:endParaRPr lang="ja-JP"/>
          </a:p>
        </c:txPr>
        <c:crossAx val="107134976"/>
        <c:crosses val="autoZero"/>
        <c:crossBetween val="midCat"/>
      </c:valAx>
      <c:valAx>
        <c:axId val="1071349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 anchor="ctr" anchorCtr="0"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ゴシック"/>
                    <a:ea typeface="ＭＳ ゴシック"/>
                    <a:cs typeface="ＭＳ 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応力　</a:t>
                </a:r>
                <a:r>
                  <a:rPr lang="ja-JP" altLang="en-US" sz="1100" b="0" i="1" u="none" strike="noStrike" baseline="0">
                    <a:solidFill>
                      <a:srgbClr val="000000"/>
                    </a:solidFill>
                    <a:latin typeface="Symbol"/>
                    <a:ea typeface="ＭＳ ゴシック"/>
                  </a:rPr>
                  <a:t>s</a:t>
                </a:r>
                <a:r>
                  <a:rPr lang="ja-JP" altLang="en-US" sz="1100" b="0" i="0" u="none" strike="noStrike" baseline="-25000">
                    <a:solidFill>
                      <a:srgbClr val="000000"/>
                    </a:solidFill>
                    <a:latin typeface="Symbol"/>
                    <a:ea typeface="ＭＳ ゴシック"/>
                  </a:rPr>
                  <a:t>1</a:t>
                </a: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Symbol"/>
                    <a:ea typeface="ＭＳ ゴシック"/>
                  </a:rPr>
                  <a:t>  </a:t>
                </a: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Times New Roman"/>
                    <a:ea typeface="ＭＳ ゴシック"/>
                    <a:cs typeface="Times New Roman"/>
                  </a:rPr>
                  <a:t>[MPa]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1.1458309189357651E-2"/>
              <c:y val="0.412757325367538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ja-JP"/>
          </a:p>
        </c:txPr>
        <c:crossAx val="107124224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ゴシック"/>
          <a:ea typeface="ＭＳ ゴシック"/>
          <a:cs typeface="ＭＳ ゴシック"/>
        </a:defRPr>
      </a:pPr>
      <a:endParaRPr lang="ja-JP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11527640541379"/>
          <c:y val="4.944524336676942E-2"/>
          <c:w val="0.85624999999999996"/>
          <c:h val="0.873737373737373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8.7216631244522044E-2"/>
                  <c:y val="-0.84504886454578731"/>
                </c:manualLayout>
              </c:layout>
              <c:tx>
                <c:rich>
                  <a:bodyPr/>
                  <a:lstStyle/>
                  <a:p>
                    <a:pPr>
                      <a:defRPr sz="1100" b="0" i="0" u="none" strike="noStrike" baseline="0">
                        <a:solidFill>
                          <a:srgbClr val="000000"/>
                        </a:solidFill>
                        <a:latin typeface="Times New Roman"/>
                        <a:ea typeface="Times New Roman"/>
                        <a:cs typeface="Times New Roman"/>
                      </a:defRPr>
                    </a:pPr>
                    <a:r>
                      <a:rPr lang="ja-JP" altLang="en-US" sz="1100" b="0" i="0" u="none" strike="noStrike" baseline="0">
                        <a:solidFill>
                          <a:srgbClr val="000000"/>
                        </a:solidFill>
                        <a:latin typeface="Times New Roman"/>
                        <a:cs typeface="Times New Roman"/>
                      </a:rPr>
                      <a:t>y = </a:t>
                    </a:r>
                    <a:r>
                      <a:rPr lang="ja-JP" altLang="en-US" sz="1100" b="0" i="0" u="none" strike="noStrike" baseline="0">
                        <a:solidFill>
                          <a:srgbClr val="000000"/>
                        </a:solidFill>
                        <a:latin typeface="Symbol"/>
                        <a:cs typeface="Times New Roman"/>
                      </a:rPr>
                      <a:t>-</a:t>
                    </a:r>
                    <a:r>
                      <a:rPr lang="ja-JP" altLang="en-US" sz="1100" b="0" i="0" u="none" strike="noStrike" baseline="0">
                        <a:solidFill>
                          <a:srgbClr val="000000"/>
                        </a:solidFill>
                        <a:latin typeface="Times New Roman"/>
                        <a:cs typeface="Times New Roman"/>
                      </a:rPr>
                      <a:t>0.2791x </a:t>
                    </a:r>
                    <a:r>
                      <a:rPr lang="ja-JP" altLang="en-US" sz="1100" b="0" i="0" u="none" strike="noStrike" baseline="0">
                        <a:solidFill>
                          <a:srgbClr val="000000"/>
                        </a:solidFill>
                        <a:latin typeface="Symbol"/>
                        <a:cs typeface="Times New Roman"/>
                      </a:rPr>
                      <a:t>-</a:t>
                    </a:r>
                    <a:r>
                      <a:rPr lang="ja-JP" altLang="en-US" sz="1100" b="0" i="0" u="none" strike="noStrike" baseline="0">
                        <a:solidFill>
                          <a:srgbClr val="000000"/>
                        </a:solidFill>
                        <a:latin typeface="Times New Roman"/>
                        <a:cs typeface="Times New Roman"/>
                      </a:rPr>
                      <a:t> 3E</a:t>
                    </a:r>
                    <a:r>
                      <a:rPr lang="ja-JP" altLang="en-US" sz="1100" b="0" i="0" u="none" strike="noStrike" baseline="0">
                        <a:solidFill>
                          <a:srgbClr val="000000"/>
                        </a:solidFill>
                        <a:latin typeface="Symbol"/>
                        <a:cs typeface="Times New Roman"/>
                      </a:rPr>
                      <a:t>-</a:t>
                    </a:r>
                    <a:r>
                      <a:rPr lang="ja-JP" altLang="en-US" sz="1100" b="0" i="0" u="none" strike="noStrike" baseline="0">
                        <a:solidFill>
                          <a:srgbClr val="000000"/>
                        </a:solidFill>
                        <a:latin typeface="Times New Roman"/>
                        <a:cs typeface="Times New Roman"/>
                      </a:rPr>
                      <a:t>07</a:t>
                    </a:r>
                    <a:endParaRPr lang="ja-JP" altLang="en-US"/>
                  </a:p>
                </c:rich>
              </c:tx>
              <c:numFmt formatCode="General" sourceLinked="0"/>
              <c:spPr>
                <a:noFill/>
                <a:ln w="25400">
                  <a:noFill/>
                </a:ln>
              </c:spPr>
            </c:trendlineLbl>
          </c:trendline>
          <c:xVal>
            <c:numRef>
              <c:f>引張!$F$6:$F$15</c:f>
              <c:numCache>
                <c:formatCode>0.000000_ </c:formatCode>
                <c:ptCount val="10"/>
                <c:pt idx="0">
                  <c:v>-9.0000000000000002E-6</c:v>
                </c:pt>
                <c:pt idx="1">
                  <c:v>1.8E-5</c:v>
                </c:pt>
                <c:pt idx="2">
                  <c:v>4.9999999999999996E-5</c:v>
                </c:pt>
                <c:pt idx="3">
                  <c:v>8.099999999999999E-5</c:v>
                </c:pt>
                <c:pt idx="4">
                  <c:v>1.1499999999999999E-4</c:v>
                </c:pt>
                <c:pt idx="5">
                  <c:v>1.4999999999999999E-4</c:v>
                </c:pt>
                <c:pt idx="6">
                  <c:v>1.85E-4</c:v>
                </c:pt>
                <c:pt idx="7">
                  <c:v>2.1999999999999998E-4</c:v>
                </c:pt>
                <c:pt idx="8">
                  <c:v>2.5299999999999997E-4</c:v>
                </c:pt>
                <c:pt idx="9">
                  <c:v>2.8499999999999999E-4</c:v>
                </c:pt>
              </c:numCache>
            </c:numRef>
          </c:xVal>
          <c:yVal>
            <c:numRef>
              <c:f>引張!$G$6:$G$15</c:f>
              <c:numCache>
                <c:formatCode>0.000000_ </c:formatCode>
                <c:ptCount val="10"/>
                <c:pt idx="0">
                  <c:v>3.0000000000000001E-6</c:v>
                </c:pt>
                <c:pt idx="1">
                  <c:v>-4.9999999999999996E-6</c:v>
                </c:pt>
                <c:pt idx="2">
                  <c:v>-1.4E-5</c:v>
                </c:pt>
                <c:pt idx="3">
                  <c:v>-2.1999999999999999E-5</c:v>
                </c:pt>
                <c:pt idx="4">
                  <c:v>-3.1999999999999999E-5</c:v>
                </c:pt>
                <c:pt idx="5">
                  <c:v>-4.1E-5</c:v>
                </c:pt>
                <c:pt idx="6">
                  <c:v>-4.9999999999999996E-5</c:v>
                </c:pt>
                <c:pt idx="7">
                  <c:v>-5.8999999999999998E-5</c:v>
                </c:pt>
                <c:pt idx="8">
                  <c:v>-6.8999999999999997E-5</c:v>
                </c:pt>
                <c:pt idx="9">
                  <c:v>-7.5999999999999991E-5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6C-41A7-B476-7B86DC2B3E5C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引張!$F$5</c:f>
              <c:numCache>
                <c:formatCode>0.000000_ </c:formatCode>
                <c:ptCount val="1"/>
                <c:pt idx="0">
                  <c:v>0</c:v>
                </c:pt>
              </c:numCache>
            </c:numRef>
          </c:xVal>
          <c:yVal>
            <c:numRef>
              <c:f>引張!$G$5</c:f>
              <c:numCache>
                <c:formatCode>0.000000_ 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6C-41A7-B476-7B86DC2B3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88384"/>
        <c:axId val="107490688"/>
      </c:scatterChart>
      <c:valAx>
        <c:axId val="10748838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ゴシック"/>
                    <a:ea typeface="ＭＳ ゴシック"/>
                    <a:cs typeface="ＭＳ 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ひずみ　</a:t>
                </a:r>
                <a:r>
                  <a:rPr lang="ja-JP" altLang="en-US" sz="1100" b="0" i="1" u="none" strike="noStrike" baseline="0">
                    <a:solidFill>
                      <a:srgbClr val="000000"/>
                    </a:solidFill>
                    <a:latin typeface="Symbol"/>
                    <a:ea typeface="ＭＳ ゴシック"/>
                  </a:rPr>
                  <a:t>e</a:t>
                </a:r>
                <a:r>
                  <a:rPr lang="ja-JP" altLang="en-US" sz="1100" b="0" i="0" u="none" strike="noStrike" baseline="-25000">
                    <a:solidFill>
                      <a:srgbClr val="000000"/>
                    </a:solidFill>
                    <a:latin typeface="Symbol"/>
                    <a:ea typeface="ＭＳ ゴシック"/>
                  </a:rPr>
                  <a:t>1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9069579591765233"/>
              <c:y val="0.95153689975245981"/>
            </c:manualLayout>
          </c:layout>
          <c:overlay val="0"/>
          <c:spPr>
            <a:noFill/>
            <a:ln w="25400">
              <a:noFill/>
            </a:ln>
          </c:spPr>
        </c:title>
        <c:numFmt formatCode="0.0E+00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Symbol" pitchFamily="2" charset="2"/>
                <a:ea typeface="Times New Roman"/>
                <a:cs typeface="Times New Roman"/>
              </a:defRPr>
            </a:pPr>
            <a:endParaRPr lang="ja-JP"/>
          </a:p>
        </c:txPr>
        <c:crossAx val="107490688"/>
        <c:crosses val="autoZero"/>
        <c:crossBetween val="midCat"/>
      </c:valAx>
      <c:valAx>
        <c:axId val="107490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ゴシック"/>
                    <a:ea typeface="ＭＳ ゴシック"/>
                    <a:cs typeface="ＭＳ 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ひずみ　</a:t>
                </a:r>
                <a:r>
                  <a:rPr lang="ja-JP" altLang="en-US" sz="1100" b="0" i="1" u="none" strike="noStrike" baseline="0">
                    <a:solidFill>
                      <a:srgbClr val="000000"/>
                    </a:solidFill>
                    <a:latin typeface="Symbol"/>
                    <a:ea typeface="ＭＳ ゴシック"/>
                  </a:rPr>
                  <a:t>e</a:t>
                </a:r>
                <a:r>
                  <a:rPr lang="ja-JP" altLang="en-US" sz="1100" b="0" i="0" u="none" strike="noStrike" baseline="-25000">
                    <a:solidFill>
                      <a:srgbClr val="000000"/>
                    </a:solidFill>
                    <a:latin typeface="Symbol"/>
                    <a:ea typeface="ＭＳ ゴシック"/>
                  </a:rPr>
                  <a:t>2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4.0240866286391457E-4"/>
              <c:y val="0.40572395255473542"/>
            </c:manualLayout>
          </c:layout>
          <c:overlay val="0"/>
          <c:spPr>
            <a:noFill/>
            <a:ln w="25400">
              <a:noFill/>
            </a:ln>
          </c:spPr>
        </c:title>
        <c:numFmt formatCode="0.0E+0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Symbol" pitchFamily="2" charset="2"/>
                <a:ea typeface="Times New Roman"/>
                <a:cs typeface="Times New Roman"/>
              </a:defRPr>
            </a:pPr>
            <a:endParaRPr lang="ja-JP"/>
          </a:p>
        </c:txPr>
        <c:crossAx val="107488384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ゴシック"/>
          <a:ea typeface="ＭＳ ゴシック"/>
          <a:cs typeface="ＭＳ ゴシック"/>
        </a:defRPr>
      </a:pPr>
      <a:endParaRPr lang="ja-JP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625000000000003E-2"/>
          <c:y val="4.0404040404040407E-2"/>
          <c:w val="0.92083333333333328"/>
          <c:h val="0.83333333333333337"/>
        </c:manualLayout>
      </c:layout>
      <c:scatterChart>
        <c:scatterStyle val="lineMarker"/>
        <c:varyColors val="0"/>
        <c:ser>
          <c:idx val="0"/>
          <c:order val="0"/>
          <c:tx>
            <c:v>実測値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name>実測値</c:nam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5.2222222222222163E-2"/>
                  <c:y val="-6.848997410677200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ja-JP"/>
                </a:p>
              </c:txPr>
            </c:trendlineLbl>
          </c:trendline>
          <c:xVal>
            <c:numRef>
              <c:f>はり!$C$7:$C$17</c:f>
              <c:numCache>
                <c:formatCode>0.000</c:formatCode>
                <c:ptCount val="11"/>
                <c:pt idx="0">
                  <c:v>0</c:v>
                </c:pt>
                <c:pt idx="1">
                  <c:v>0.24</c:v>
                </c:pt>
                <c:pt idx="2">
                  <c:v>0.59099999999999997</c:v>
                </c:pt>
                <c:pt idx="3">
                  <c:v>0.98</c:v>
                </c:pt>
                <c:pt idx="4">
                  <c:v>1.39</c:v>
                </c:pt>
                <c:pt idx="5">
                  <c:v>1.774</c:v>
                </c:pt>
                <c:pt idx="6">
                  <c:v>2.1539999999999999</c:v>
                </c:pt>
                <c:pt idx="7">
                  <c:v>2.544</c:v>
                </c:pt>
                <c:pt idx="8">
                  <c:v>2.9239999999999999</c:v>
                </c:pt>
                <c:pt idx="9">
                  <c:v>3.3250000000000002</c:v>
                </c:pt>
                <c:pt idx="10">
                  <c:v>3.714</c:v>
                </c:pt>
              </c:numCache>
            </c:numRef>
          </c:xVal>
          <c:yVal>
            <c:numRef>
              <c:f>はり!$D$7:$D$17</c:f>
              <c:numCache>
                <c:formatCode>0.00</c:formatCode>
                <c:ptCount val="11"/>
                <c:pt idx="0">
                  <c:v>0</c:v>
                </c:pt>
                <c:pt idx="1">
                  <c:v>3.0400614999999998</c:v>
                </c:pt>
                <c:pt idx="2">
                  <c:v>7.9433864999999999</c:v>
                </c:pt>
                <c:pt idx="3">
                  <c:v>12.8467115</c:v>
                </c:pt>
                <c:pt idx="4">
                  <c:v>17.7500365</c:v>
                </c:pt>
                <c:pt idx="5">
                  <c:v>22.653361499999999</c:v>
                </c:pt>
                <c:pt idx="6">
                  <c:v>27.556686499999998</c:v>
                </c:pt>
                <c:pt idx="7">
                  <c:v>32.4600115</c:v>
                </c:pt>
                <c:pt idx="8">
                  <c:v>37.363336499999996</c:v>
                </c:pt>
                <c:pt idx="9">
                  <c:v>42.266661499999991</c:v>
                </c:pt>
                <c:pt idx="10">
                  <c:v>47.169986499999993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B8-461E-A0BD-3C85DAE2C6E1}"/>
            </c:ext>
          </c:extLst>
        </c:ser>
        <c:ser>
          <c:idx val="1"/>
          <c:order val="1"/>
          <c:tx>
            <c:v>計算値</c:v>
          </c:tx>
          <c:spPr>
            <a:ln w="28575">
              <a:noFill/>
            </a:ln>
          </c:spPr>
          <c:marker>
            <c:symbol val="x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name>計算値</c:name>
            <c:spPr>
              <a:ln w="12700">
                <a:solidFill>
                  <a:srgbClr val="000000"/>
                </a:solidFill>
                <a:prstDash val="lgDash"/>
              </a:ln>
            </c:spPr>
            <c:trendlineType val="linear"/>
            <c:dispRSqr val="0"/>
            <c:dispEq val="0"/>
          </c:trendline>
          <c:xVal>
            <c:numRef>
              <c:f>はり!$H$7:$H$17</c:f>
              <c:numCache>
                <c:formatCode>0.000</c:formatCode>
                <c:ptCount val="11"/>
                <c:pt idx="0">
                  <c:v>0</c:v>
                </c:pt>
                <c:pt idx="1">
                  <c:v>0.2397966424165662</c:v>
                </c:pt>
                <c:pt idx="2">
                  <c:v>0.62656542050780195</c:v>
                </c:pt>
                <c:pt idx="3">
                  <c:v>1.0133341985990376</c:v>
                </c:pt>
                <c:pt idx="4">
                  <c:v>1.4001029766902735</c:v>
                </c:pt>
                <c:pt idx="5">
                  <c:v>1.7868717547815092</c:v>
                </c:pt>
                <c:pt idx="6">
                  <c:v>2.1736405328727448</c:v>
                </c:pt>
                <c:pt idx="7">
                  <c:v>2.5604093109639807</c:v>
                </c:pt>
                <c:pt idx="8">
                  <c:v>2.9471780890552162</c:v>
                </c:pt>
                <c:pt idx="9">
                  <c:v>3.3339468671464521</c:v>
                </c:pt>
                <c:pt idx="10">
                  <c:v>3.7207156452376875</c:v>
                </c:pt>
              </c:numCache>
            </c:numRef>
          </c:xVal>
          <c:yVal>
            <c:numRef>
              <c:f>はり!$D$7:$D$17</c:f>
              <c:numCache>
                <c:formatCode>0.00</c:formatCode>
                <c:ptCount val="11"/>
                <c:pt idx="0">
                  <c:v>0</c:v>
                </c:pt>
                <c:pt idx="1">
                  <c:v>3.0400614999999998</c:v>
                </c:pt>
                <c:pt idx="2">
                  <c:v>7.9433864999999999</c:v>
                </c:pt>
                <c:pt idx="3">
                  <c:v>12.8467115</c:v>
                </c:pt>
                <c:pt idx="4">
                  <c:v>17.7500365</c:v>
                </c:pt>
                <c:pt idx="5">
                  <c:v>22.653361499999999</c:v>
                </c:pt>
                <c:pt idx="6">
                  <c:v>27.556686499999998</c:v>
                </c:pt>
                <c:pt idx="7">
                  <c:v>32.4600115</c:v>
                </c:pt>
                <c:pt idx="8">
                  <c:v>37.363336499999996</c:v>
                </c:pt>
                <c:pt idx="9">
                  <c:v>42.266661499999991</c:v>
                </c:pt>
                <c:pt idx="10">
                  <c:v>47.169986499999993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B8-461E-A0BD-3C85DAE2C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40256"/>
        <c:axId val="106262912"/>
      </c:scatterChart>
      <c:valAx>
        <c:axId val="10624025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ゴシック"/>
                    <a:ea typeface="ＭＳ ゴシック"/>
                    <a:cs typeface="ＭＳ 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たわみ　</a:t>
                </a:r>
                <a:r>
                  <a:rPr lang="ja-JP" altLang="en-US" sz="1100" b="0" i="1" u="none" strike="noStrike" baseline="0">
                    <a:solidFill>
                      <a:srgbClr val="000000"/>
                    </a:solidFill>
                    <a:latin typeface="Symbol"/>
                    <a:ea typeface="ＭＳ ゴシック"/>
                  </a:rPr>
                  <a:t>d</a:t>
                </a:r>
                <a:r>
                  <a:rPr lang="ja-JP" altLang="en-US" sz="1100" b="0" i="1" u="none" strike="noStrike" baseline="-25000">
                    <a:solidFill>
                      <a:srgbClr val="000000"/>
                    </a:solidFill>
                    <a:latin typeface="Times New Roman"/>
                    <a:ea typeface="ＭＳ ゴシック"/>
                    <a:cs typeface="Times New Roman"/>
                  </a:rPr>
                  <a:t>s</a:t>
                </a: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Times New Roman"/>
                    <a:ea typeface="ＭＳ ゴシック"/>
                    <a:cs typeface="Times New Roman"/>
                  </a:rPr>
                  <a:t> [mm]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3658260373639379"/>
              <c:y val="0.94223978767391736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ja-JP"/>
          </a:p>
        </c:txPr>
        <c:crossAx val="106262912"/>
        <c:crosses val="autoZero"/>
        <c:crossBetween val="midCat"/>
      </c:valAx>
      <c:valAx>
        <c:axId val="1062629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ゴシック"/>
                    <a:ea typeface="ＭＳ ゴシック"/>
                    <a:cs typeface="ＭＳ 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荷重　</a:t>
                </a:r>
                <a:r>
                  <a:rPr lang="ja-JP" altLang="en-US" sz="1100" b="0" i="1" u="none" strike="noStrike" baseline="0">
                    <a:solidFill>
                      <a:srgbClr val="000000"/>
                    </a:solidFill>
                    <a:latin typeface="Times New Roman"/>
                    <a:ea typeface="ＭＳ ゴシック"/>
                    <a:cs typeface="Times New Roman"/>
                  </a:rPr>
                  <a:t>W</a:t>
                </a: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Times New Roman"/>
                    <a:ea typeface="ＭＳ ゴシック"/>
                    <a:cs typeface="Times New Roman"/>
                  </a:rPr>
                  <a:t> [N]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4.0240866286391571E-4"/>
              <c:y val="0.4167054506989863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ja-JP"/>
          </a:p>
        </c:txPr>
        <c:crossAx val="106240256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395833333333328"/>
          <c:y val="0.7303754266211604"/>
          <c:w val="0.10312499999999999"/>
          <c:h val="0.1382252559726962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Yu Gothic" panose="020B0400000000000000" pitchFamily="34" charset="-128"/>
              <a:ea typeface="Yu Gothic" panose="020B0400000000000000" pitchFamily="34" charset="-128"/>
              <a:cs typeface="ＭＳ 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ゴシック"/>
          <a:ea typeface="ＭＳ ゴシック"/>
          <a:cs typeface="ＭＳ ゴシック"/>
        </a:defRPr>
      </a:pPr>
      <a:endParaRPr lang="ja-JP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7708333333333329E-2"/>
          <c:y val="4.0404040404040407E-2"/>
          <c:w val="0.89479166666666665"/>
          <c:h val="0.8333333333333333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0.19143023308303958"/>
                  <c:y val="-0.1210817183517977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ja-JP"/>
                </a:p>
              </c:txPr>
            </c:trendlineLbl>
          </c:trendline>
          <c:xVal>
            <c:numRef>
              <c:f>はり!$G$8:$G$17</c:f>
              <c:numCache>
                <c:formatCode>0.000000_ </c:formatCode>
                <c:ptCount val="10"/>
                <c:pt idx="0">
                  <c:v>1.1E-5</c:v>
                </c:pt>
                <c:pt idx="1">
                  <c:v>3.2999999999999996E-5</c:v>
                </c:pt>
                <c:pt idx="2">
                  <c:v>5.6999999999999996E-5</c:v>
                </c:pt>
                <c:pt idx="3">
                  <c:v>8.2000000000000001E-5</c:v>
                </c:pt>
                <c:pt idx="4">
                  <c:v>1.06E-4</c:v>
                </c:pt>
                <c:pt idx="5">
                  <c:v>1.2899999999999999E-4</c:v>
                </c:pt>
                <c:pt idx="6">
                  <c:v>1.54E-4</c:v>
                </c:pt>
                <c:pt idx="7">
                  <c:v>1.7699999999999999E-4</c:v>
                </c:pt>
                <c:pt idx="8">
                  <c:v>2.0099999999999998E-4</c:v>
                </c:pt>
                <c:pt idx="9">
                  <c:v>2.2599999999999999E-4</c:v>
                </c:pt>
              </c:numCache>
            </c:numRef>
          </c:xVal>
          <c:yVal>
            <c:numRef>
              <c:f>はり!$F$8:$F$17</c:f>
              <c:numCache>
                <c:formatCode>0.00</c:formatCode>
                <c:ptCount val="10"/>
                <c:pt idx="0">
                  <c:v>3.0150729456509433</c:v>
                </c:pt>
                <c:pt idx="1">
                  <c:v>7.8780938257331101</c:v>
                </c:pt>
                <c:pt idx="2">
                  <c:v>12.741114705815274</c:v>
                </c:pt>
                <c:pt idx="3">
                  <c:v>17.604135585897442</c:v>
                </c:pt>
                <c:pt idx="4">
                  <c:v>22.46715646597961</c:v>
                </c:pt>
                <c:pt idx="5">
                  <c:v>27.330177346061774</c:v>
                </c:pt>
                <c:pt idx="6">
                  <c:v>32.193198226143942</c:v>
                </c:pt>
                <c:pt idx="7">
                  <c:v>37.056219106226102</c:v>
                </c:pt>
                <c:pt idx="8">
                  <c:v>41.91923998630827</c:v>
                </c:pt>
                <c:pt idx="9">
                  <c:v>46.78226086639043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06-41DD-8EBE-11371A9A670E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はり!$G$7</c:f>
              <c:numCache>
                <c:formatCode>0.000000_ </c:formatCode>
                <c:ptCount val="1"/>
                <c:pt idx="0">
                  <c:v>0</c:v>
                </c:pt>
              </c:numCache>
            </c:numRef>
          </c:xVal>
          <c:yVal>
            <c:numRef>
              <c:f>はり!$F$7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06-41DD-8EBE-11371A9A6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03424"/>
        <c:axId val="106918272"/>
      </c:scatterChart>
      <c:valAx>
        <c:axId val="1069034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ゴシック"/>
                    <a:ea typeface="ＭＳ ゴシック"/>
                    <a:cs typeface="ＭＳ 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ひずみ　</a:t>
                </a:r>
                <a:r>
                  <a:rPr lang="ja-JP" altLang="en-US" sz="1100" b="0" i="1" u="none" strike="noStrike" baseline="0">
                    <a:solidFill>
                      <a:srgbClr val="000000"/>
                    </a:solidFill>
                    <a:latin typeface="Symbol"/>
                    <a:ea typeface="ＭＳ ゴシック"/>
                  </a:rPr>
                  <a:t>e</a:t>
                </a:r>
                <a:r>
                  <a:rPr lang="ja-JP" altLang="en-US" sz="1100" b="0" i="1" u="none" strike="noStrike" baseline="-25000">
                    <a:solidFill>
                      <a:srgbClr val="000000"/>
                    </a:solidFill>
                    <a:latin typeface="Times New Roman"/>
                    <a:ea typeface="ＭＳ ゴシック"/>
                    <a:cs typeface="Times New Roman"/>
                  </a:rPr>
                  <a:t>S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7395251564428231"/>
              <c:y val="0.95116327107093679"/>
            </c:manualLayout>
          </c:layout>
          <c:overlay val="0"/>
          <c:spPr>
            <a:noFill/>
            <a:ln w="25400">
              <a:noFill/>
            </a:ln>
          </c:spPr>
        </c:title>
        <c:numFmt formatCode="0.0E+0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Symbol" pitchFamily="2" charset="2"/>
                <a:ea typeface="Times New Roman"/>
                <a:cs typeface="Times New Roman"/>
              </a:defRPr>
            </a:pPr>
            <a:endParaRPr lang="ja-JP"/>
          </a:p>
        </c:txPr>
        <c:crossAx val="106918272"/>
        <c:crosses val="autoZero"/>
        <c:crossBetween val="midCat"/>
      </c:valAx>
      <c:valAx>
        <c:axId val="106918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ゴシック"/>
                    <a:ea typeface="ＭＳ ゴシック"/>
                    <a:cs typeface="ＭＳ 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応力　</a:t>
                </a:r>
                <a:r>
                  <a:rPr lang="ja-JP" altLang="en-US" sz="1100" b="0" i="1" u="none" strike="noStrike" baseline="0">
                    <a:solidFill>
                      <a:srgbClr val="000000"/>
                    </a:solidFill>
                    <a:latin typeface="Symbol"/>
                    <a:ea typeface="ＭＳ ゴシック"/>
                  </a:rPr>
                  <a:t>s</a:t>
                </a:r>
                <a:r>
                  <a:rPr lang="ja-JP" altLang="en-US" sz="1100" b="0" i="1" u="none" strike="noStrike" baseline="-25000">
                    <a:solidFill>
                      <a:srgbClr val="000000"/>
                    </a:solidFill>
                    <a:latin typeface="Symbol"/>
                    <a:ea typeface="ＭＳ ゴシック"/>
                  </a:rPr>
                  <a:t> </a:t>
                </a:r>
                <a:r>
                  <a:rPr lang="ja-JP" altLang="en-US" sz="1100" b="0" i="1" u="none" strike="noStrike" baseline="-25000">
                    <a:solidFill>
                      <a:srgbClr val="000000"/>
                    </a:solidFill>
                    <a:latin typeface="Times New Roman"/>
                    <a:ea typeface="ＭＳ ゴシック"/>
                    <a:cs typeface="Times New Roman"/>
                  </a:rPr>
                  <a:t>S</a:t>
                </a: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Symbol"/>
                    <a:ea typeface="ＭＳ ゴシック"/>
                    <a:cs typeface="Times New Roman"/>
                  </a:rPr>
                  <a:t> </a:t>
                </a: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Times New Roman"/>
                    <a:ea typeface="ＭＳ ゴシック"/>
                    <a:cs typeface="Times New Roman"/>
                  </a:rPr>
                  <a:t>[MPa]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3.6268524686841326E-4"/>
              <c:y val="0.4107139578404716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ja-JP"/>
          </a:p>
        </c:txPr>
        <c:crossAx val="106903424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ゴシック"/>
          <a:ea typeface="ＭＳ ゴシック"/>
          <a:cs typeface="ＭＳ 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70" workbookViewId="0"/>
  </sheetViews>
  <pageMargins left="0.75" right="0.75" top="1" bottom="1" header="0.51200000000000001" footer="0.51200000000000001"/>
  <pageSetup paperSize="9" orientation="landscape" verticalDpi="300" r:id="rId1"/>
  <headerFooter alignWithMargins="0">
    <oddHeader>&amp;L&amp;"ＭＳ ゴシック,標準"引張試験　応力－ひずみ線図</oddHead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0" workbookViewId="0"/>
  </sheetViews>
  <pageMargins left="0.75" right="0.75" top="1" bottom="1" header="0.51200000000000001" footer="0.51200000000000001"/>
  <pageSetup paperSize="9" orientation="landscape" verticalDpi="300" r:id="rId1"/>
  <headerFooter alignWithMargins="0">
    <oddHeader>&amp;L&amp;"ＭＳ ゴシック,標準"引張試験　縦ひずみと横ひずみの関係</oddHead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70" workbookViewId="0"/>
  </sheetViews>
  <pageMargins left="0.75" right="0.75" top="1" bottom="1" header="0.51200000000000001" footer="0.51200000000000001"/>
  <pageSetup paperSize="9" orientation="landscape" verticalDpi="300" r:id="rId1"/>
  <headerFooter alignWithMargins="0">
    <oddHeader>&amp;L&amp;"ＭＳ ゴシック,標準"はりのたわみ試験　荷重－たわみ線図</oddHeader>
  </headerFooter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0" workbookViewId="0"/>
  </sheetViews>
  <pageMargins left="0.78740157480314965" right="0.78740157480314965" top="0.98425196850393704" bottom="0.98425196850393704" header="0.51181102362204722" footer="0.51181102362204722"/>
  <pageSetup paperSize="9" orientation="landscape" verticalDpi="300" r:id="rId1"/>
  <headerFooter alignWithMargins="0">
    <oddHeader>&amp;L&amp;"ＭＳ ゴシック,標準"はりのたわみ試験　応力－ひずみ線図</oddHead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198429" cy="5606143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198429" cy="5606143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198429" cy="5606143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134929" cy="5642429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showGridLines="0" view="pageBreakPreview" zoomScaleNormal="100" zoomScaleSheetLayoutView="100" workbookViewId="0">
      <selection activeCell="F2" sqref="F2"/>
    </sheetView>
  </sheetViews>
  <sheetFormatPr defaultColWidth="8.875" defaultRowHeight="15.75" x14ac:dyDescent="0.15"/>
  <cols>
    <col min="1" max="7" width="11.875" style="1" customWidth="1"/>
    <col min="8" max="12" width="10.875" style="1" customWidth="1"/>
    <col min="13" max="16384" width="8.875" style="1"/>
  </cols>
  <sheetData>
    <row r="1" spans="1:12" ht="37.5" customHeight="1" thickBot="1" x14ac:dyDescent="0.2">
      <c r="A1" s="6" t="s">
        <v>4</v>
      </c>
      <c r="B1" s="6" t="s">
        <v>5</v>
      </c>
      <c r="C1" s="6" t="s">
        <v>6</v>
      </c>
      <c r="E1" s="2"/>
      <c r="F1" s="6" t="s">
        <v>7</v>
      </c>
      <c r="G1" s="5" t="s">
        <v>0</v>
      </c>
      <c r="H1" s="2"/>
      <c r="L1" s="2"/>
    </row>
    <row r="2" spans="1:12" ht="37.5" customHeight="1" thickBot="1" x14ac:dyDescent="0.2">
      <c r="A2" s="15">
        <v>40.04</v>
      </c>
      <c r="B2" s="15">
        <v>8.9600000000000009</v>
      </c>
      <c r="C2" s="16">
        <f>A2*B2</f>
        <v>358.75840000000005</v>
      </c>
      <c r="E2" s="3"/>
      <c r="F2" s="23">
        <f>LINEST(E6:E15,F6:F15)</f>
        <v>205297.47476886917</v>
      </c>
      <c r="G2" s="24">
        <f>ABS(LINEST(C6:C15,B6:B15))</f>
        <v>0.26903993448624697</v>
      </c>
      <c r="H2" s="4"/>
      <c r="L2" s="4"/>
    </row>
    <row r="3" spans="1:12" ht="37.5" customHeight="1" x14ac:dyDescent="0.15"/>
    <row r="4" spans="1:12" ht="37.5" customHeight="1" thickBot="1" x14ac:dyDescent="0.2">
      <c r="A4" s="6" t="s">
        <v>8</v>
      </c>
      <c r="B4" s="8" t="s">
        <v>9</v>
      </c>
      <c r="C4" s="8" t="s">
        <v>10</v>
      </c>
      <c r="D4" s="7" t="s">
        <v>11</v>
      </c>
      <c r="E4" s="9" t="s">
        <v>12</v>
      </c>
      <c r="F4" s="8" t="s">
        <v>1</v>
      </c>
      <c r="G4" s="8" t="s">
        <v>2</v>
      </c>
    </row>
    <row r="5" spans="1:12" ht="37.5" customHeight="1" thickBot="1" x14ac:dyDescent="0.2">
      <c r="A5" s="13">
        <v>0</v>
      </c>
      <c r="B5" s="14">
        <v>0</v>
      </c>
      <c r="C5" s="28">
        <v>0</v>
      </c>
      <c r="D5" s="21">
        <f t="shared" ref="D5:D15" si="0">A5*9.80665</f>
        <v>0</v>
      </c>
      <c r="E5" s="18">
        <f>D5/$C$2</f>
        <v>0</v>
      </c>
      <c r="F5" s="22">
        <f>B5*0.000001</f>
        <v>0</v>
      </c>
      <c r="G5" s="29">
        <f t="shared" ref="G5:G15" si="1">C5*0.000001</f>
        <v>0</v>
      </c>
    </row>
    <row r="6" spans="1:12" ht="37.5" customHeight="1" thickBot="1" x14ac:dyDescent="0.2">
      <c r="A6" s="13">
        <v>250</v>
      </c>
      <c r="B6" s="14">
        <v>-9</v>
      </c>
      <c r="C6" s="28">
        <v>3</v>
      </c>
      <c r="D6" s="21">
        <f t="shared" si="0"/>
        <v>2451.6624999999999</v>
      </c>
      <c r="E6" s="18">
        <f>D6/$C$2</f>
        <v>6.8337424294455529</v>
      </c>
      <c r="F6" s="22">
        <f t="shared" ref="F6:F15" si="2">B6*0.000001</f>
        <v>-9.0000000000000002E-6</v>
      </c>
      <c r="G6" s="29">
        <f t="shared" si="1"/>
        <v>3.0000000000000001E-6</v>
      </c>
    </row>
    <row r="7" spans="1:12" ht="37.5" customHeight="1" thickBot="1" x14ac:dyDescent="0.2">
      <c r="A7" s="13">
        <v>500</v>
      </c>
      <c r="B7" s="14">
        <v>18</v>
      </c>
      <c r="C7" s="28">
        <v>-5</v>
      </c>
      <c r="D7" s="21">
        <f t="shared" si="0"/>
        <v>4903.3249999999998</v>
      </c>
      <c r="E7" s="18">
        <f t="shared" ref="E7:E15" si="3">D7/$C$2</f>
        <v>13.667484858891106</v>
      </c>
      <c r="F7" s="22">
        <f t="shared" si="2"/>
        <v>1.8E-5</v>
      </c>
      <c r="G7" s="29">
        <f t="shared" si="1"/>
        <v>-4.9999999999999996E-6</v>
      </c>
    </row>
    <row r="8" spans="1:12" ht="37.5" customHeight="1" thickBot="1" x14ac:dyDescent="0.2">
      <c r="A8" s="13">
        <v>750</v>
      </c>
      <c r="B8" s="14">
        <v>50</v>
      </c>
      <c r="C8" s="28">
        <v>-14</v>
      </c>
      <c r="D8" s="21">
        <f t="shared" si="0"/>
        <v>7354.9874999999993</v>
      </c>
      <c r="E8" s="18">
        <f t="shared" si="3"/>
        <v>20.501227288336658</v>
      </c>
      <c r="F8" s="22">
        <f t="shared" si="2"/>
        <v>4.9999999999999996E-5</v>
      </c>
      <c r="G8" s="29">
        <f t="shared" si="1"/>
        <v>-1.4E-5</v>
      </c>
    </row>
    <row r="9" spans="1:12" ht="37.5" customHeight="1" thickBot="1" x14ac:dyDescent="0.2">
      <c r="A9" s="13">
        <v>1000</v>
      </c>
      <c r="B9" s="14">
        <v>81</v>
      </c>
      <c r="C9" s="28">
        <v>-22</v>
      </c>
      <c r="D9" s="21">
        <f t="shared" si="0"/>
        <v>9806.65</v>
      </c>
      <c r="E9" s="18">
        <f t="shared" si="3"/>
        <v>27.334969717782212</v>
      </c>
      <c r="F9" s="22">
        <f t="shared" si="2"/>
        <v>8.099999999999999E-5</v>
      </c>
      <c r="G9" s="29">
        <f t="shared" si="1"/>
        <v>-2.1999999999999999E-5</v>
      </c>
    </row>
    <row r="10" spans="1:12" ht="37.5" customHeight="1" thickBot="1" x14ac:dyDescent="0.2">
      <c r="A10" s="13">
        <v>1250</v>
      </c>
      <c r="B10" s="14">
        <v>115</v>
      </c>
      <c r="C10" s="28">
        <v>-32</v>
      </c>
      <c r="D10" s="21">
        <f t="shared" si="0"/>
        <v>12258.3125</v>
      </c>
      <c r="E10" s="18">
        <f t="shared" si="3"/>
        <v>34.168712147227765</v>
      </c>
      <c r="F10" s="22">
        <f t="shared" si="2"/>
        <v>1.1499999999999999E-4</v>
      </c>
      <c r="G10" s="29">
        <f t="shared" si="1"/>
        <v>-3.1999999999999999E-5</v>
      </c>
    </row>
    <row r="11" spans="1:12" ht="37.5" customHeight="1" thickBot="1" x14ac:dyDescent="0.2">
      <c r="A11" s="13">
        <v>1500</v>
      </c>
      <c r="B11" s="14">
        <v>150</v>
      </c>
      <c r="C11" s="28">
        <v>-41</v>
      </c>
      <c r="D11" s="21">
        <f t="shared" si="0"/>
        <v>14709.974999999999</v>
      </c>
      <c r="E11" s="18">
        <f t="shared" si="3"/>
        <v>41.002454576673316</v>
      </c>
      <c r="F11" s="22">
        <f t="shared" si="2"/>
        <v>1.4999999999999999E-4</v>
      </c>
      <c r="G11" s="29">
        <f t="shared" si="1"/>
        <v>-4.1E-5</v>
      </c>
    </row>
    <row r="12" spans="1:12" ht="37.5" customHeight="1" thickBot="1" x14ac:dyDescent="0.2">
      <c r="A12" s="13">
        <v>1750</v>
      </c>
      <c r="B12" s="14">
        <v>185</v>
      </c>
      <c r="C12" s="28">
        <v>-50</v>
      </c>
      <c r="D12" s="21">
        <f t="shared" si="0"/>
        <v>17161.637500000001</v>
      </c>
      <c r="E12" s="18">
        <f t="shared" si="3"/>
        <v>47.836197006118873</v>
      </c>
      <c r="F12" s="22">
        <f t="shared" si="2"/>
        <v>1.85E-4</v>
      </c>
      <c r="G12" s="29">
        <f t="shared" si="1"/>
        <v>-4.9999999999999996E-5</v>
      </c>
    </row>
    <row r="13" spans="1:12" ht="37.5" customHeight="1" thickBot="1" x14ac:dyDescent="0.2">
      <c r="A13" s="13">
        <v>2000</v>
      </c>
      <c r="B13" s="14">
        <v>220</v>
      </c>
      <c r="C13" s="28">
        <v>-59</v>
      </c>
      <c r="D13" s="21">
        <f t="shared" si="0"/>
        <v>19613.3</v>
      </c>
      <c r="E13" s="18">
        <f t="shared" si="3"/>
        <v>54.669939435564423</v>
      </c>
      <c r="F13" s="22">
        <f t="shared" si="2"/>
        <v>2.1999999999999998E-4</v>
      </c>
      <c r="G13" s="29">
        <f t="shared" si="1"/>
        <v>-5.8999999999999998E-5</v>
      </c>
    </row>
    <row r="14" spans="1:12" ht="37.5" customHeight="1" thickBot="1" x14ac:dyDescent="0.2">
      <c r="A14" s="13">
        <v>2250</v>
      </c>
      <c r="B14" s="14">
        <v>253</v>
      </c>
      <c r="C14" s="28">
        <v>-69</v>
      </c>
      <c r="D14" s="21">
        <f t="shared" si="0"/>
        <v>22064.962499999998</v>
      </c>
      <c r="E14" s="18">
        <f t="shared" si="3"/>
        <v>61.503681865009973</v>
      </c>
      <c r="F14" s="22">
        <f t="shared" si="2"/>
        <v>2.5299999999999997E-4</v>
      </c>
      <c r="G14" s="29">
        <f t="shared" si="1"/>
        <v>-6.8999999999999997E-5</v>
      </c>
    </row>
    <row r="15" spans="1:12" ht="37.5" customHeight="1" thickBot="1" x14ac:dyDescent="0.2">
      <c r="A15" s="13">
        <v>2500</v>
      </c>
      <c r="B15" s="14">
        <v>285</v>
      </c>
      <c r="C15" s="28">
        <v>-76</v>
      </c>
      <c r="D15" s="21">
        <f t="shared" si="0"/>
        <v>24516.625</v>
      </c>
      <c r="E15" s="18">
        <f t="shared" si="3"/>
        <v>68.337424294455531</v>
      </c>
      <c r="F15" s="22">
        <f t="shared" si="2"/>
        <v>2.8499999999999999E-4</v>
      </c>
      <c r="G15" s="29">
        <f t="shared" si="1"/>
        <v>-7.5999999999999991E-5</v>
      </c>
    </row>
  </sheetData>
  <phoneticPr fontId="1"/>
  <printOptions horizontalCentered="1"/>
  <pageMargins left="0.47244094488188981" right="0.23622047244094491" top="0.98425196850393704" bottom="0.98425196850393704" header="0.51181102362204722" footer="0.51181102362204722"/>
  <pageSetup paperSize="9" orientation="portrait" verticalDpi="300" r:id="rId1"/>
  <headerFooter alignWithMargins="0">
    <oddHeader>&amp;L&amp;"ＭＳ ゴシック,標準"平板の引張試験　実験結果</oddHeader>
  </headerFooter>
  <ignoredErrors>
    <ignoredError sqref="G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tabSelected="1" view="pageBreakPreview" topLeftCell="A9" zoomScaleNormal="100" zoomScaleSheetLayoutView="100" workbookViewId="0">
      <selection activeCell="L12" sqref="L12"/>
    </sheetView>
  </sheetViews>
  <sheetFormatPr defaultColWidth="8.875" defaultRowHeight="15.75" x14ac:dyDescent="0.15"/>
  <cols>
    <col min="1" max="8" width="11.875" style="1" customWidth="1"/>
    <col min="9" max="16384" width="8.875" style="1"/>
  </cols>
  <sheetData>
    <row r="1" spans="1:8" ht="37.5" customHeight="1" thickBot="1" x14ac:dyDescent="0.2">
      <c r="A1" s="10" t="s">
        <v>13</v>
      </c>
      <c r="B1" s="10" t="s">
        <v>14</v>
      </c>
      <c r="C1" s="11" t="s">
        <v>15</v>
      </c>
      <c r="D1" s="11" t="s">
        <v>16</v>
      </c>
      <c r="H1" s="10" t="s">
        <v>29</v>
      </c>
    </row>
    <row r="2" spans="1:8" ht="37.5" customHeight="1" thickBot="1" x14ac:dyDescent="0.2">
      <c r="A2" s="15">
        <v>9.98</v>
      </c>
      <c r="B2" s="15">
        <v>9.9700000000000006</v>
      </c>
      <c r="C2" s="16">
        <f>A2*B2^(3)/12</f>
        <v>824.20409921166674</v>
      </c>
      <c r="D2" s="18">
        <f>A2*B2^(2)/6</f>
        <v>165.33683033333335</v>
      </c>
      <c r="H2" s="23">
        <f>LINEST(F8:F17,G8:G17)</f>
        <v>203121.24586887597</v>
      </c>
    </row>
    <row r="3" spans="1:8" ht="37.5" customHeight="1" thickBot="1" x14ac:dyDescent="0.2">
      <c r="A3" s="12" t="s">
        <v>17</v>
      </c>
      <c r="B3" s="12" t="s">
        <v>18</v>
      </c>
      <c r="C3" s="11" t="s">
        <v>19</v>
      </c>
      <c r="D3" s="10" t="s">
        <v>20</v>
      </c>
      <c r="E3" s="10" t="s">
        <v>21</v>
      </c>
    </row>
    <row r="4" spans="1:8" ht="37.5" customHeight="1" thickBot="1" x14ac:dyDescent="0.2">
      <c r="A4" s="13">
        <v>597</v>
      </c>
      <c r="B4" s="13">
        <v>901</v>
      </c>
      <c r="C4" s="25">
        <f>B4-A4</f>
        <v>304</v>
      </c>
      <c r="D4" s="13">
        <v>486</v>
      </c>
      <c r="E4" s="13">
        <v>486</v>
      </c>
    </row>
    <row r="5" spans="1:8" ht="37.5" customHeight="1" x14ac:dyDescent="0.15"/>
    <row r="6" spans="1:8" ht="37.5" customHeight="1" thickBot="1" x14ac:dyDescent="0.2">
      <c r="A6" s="10" t="s">
        <v>22</v>
      </c>
      <c r="B6" s="10" t="s">
        <v>23</v>
      </c>
      <c r="C6" s="6" t="s">
        <v>24</v>
      </c>
      <c r="D6" s="11" t="s">
        <v>25</v>
      </c>
      <c r="E6" s="11" t="s">
        <v>26</v>
      </c>
      <c r="F6" s="11" t="s">
        <v>27</v>
      </c>
      <c r="G6" s="11" t="s">
        <v>3</v>
      </c>
      <c r="H6" s="6" t="s">
        <v>28</v>
      </c>
    </row>
    <row r="7" spans="1:8" ht="37.5" customHeight="1" thickBot="1" x14ac:dyDescent="0.2">
      <c r="A7" s="13">
        <v>0</v>
      </c>
      <c r="B7" s="27">
        <v>0</v>
      </c>
      <c r="C7" s="17">
        <v>0</v>
      </c>
      <c r="D7" s="26">
        <f t="shared" ref="D7:D17" si="0">A7*9.80665</f>
        <v>0</v>
      </c>
      <c r="E7" s="18">
        <f>A7*$C$4*$D$4/($A$4+$C$4)</f>
        <v>0</v>
      </c>
      <c r="F7" s="19">
        <f>E7/$D$2</f>
        <v>0</v>
      </c>
      <c r="G7" s="22">
        <f t="shared" ref="G7:G17" si="1">B7*0.000001</f>
        <v>0</v>
      </c>
      <c r="H7" s="20">
        <f>(D7*$C$4*$E$4)*($B$4^(2)-$C$4^(2)-$E$4^(2))/(6*$H$2*$C$2*$B$4)</f>
        <v>0</v>
      </c>
    </row>
    <row r="8" spans="1:8" ht="37.5" customHeight="1" thickBot="1" x14ac:dyDescent="0.2">
      <c r="A8" s="13">
        <v>0.31</v>
      </c>
      <c r="B8" s="27">
        <v>11</v>
      </c>
      <c r="C8" s="17">
        <v>0.24</v>
      </c>
      <c r="D8" s="26">
        <f t="shared" si="0"/>
        <v>3.0400614999999998</v>
      </c>
      <c r="E8" s="18">
        <f>(D8*$C$4*$D$4)/($A$4+$C$4)</f>
        <v>498.50260405771365</v>
      </c>
      <c r="F8" s="19">
        <f t="shared" ref="F8:F17" si="2">E8/$D$2</f>
        <v>3.0150729456509433</v>
      </c>
      <c r="G8" s="22">
        <f t="shared" si="1"/>
        <v>1.1E-5</v>
      </c>
      <c r="H8" s="20">
        <f t="shared" ref="H8:H17" si="3">(D8*$C$4*$E$4)*($B$4^(2)-$C$4^(2)-$E$4^(2))/(6*$H$2*$C$2*$B$4)</f>
        <v>0.2397966424165662</v>
      </c>
    </row>
    <row r="9" spans="1:8" ht="37.5" customHeight="1" thickBot="1" x14ac:dyDescent="0.2">
      <c r="A9" s="13">
        <v>0.81</v>
      </c>
      <c r="B9" s="27">
        <v>33</v>
      </c>
      <c r="C9" s="17">
        <v>0.59099999999999997</v>
      </c>
      <c r="D9" s="26">
        <f t="shared" si="0"/>
        <v>7.9433864999999999</v>
      </c>
      <c r="E9" s="18">
        <f>(D9*$C$4*$D$4)/($A$4+$C$4)</f>
        <v>1302.5390622153163</v>
      </c>
      <c r="F9" s="19">
        <f t="shared" si="2"/>
        <v>7.8780938257331101</v>
      </c>
      <c r="G9" s="22">
        <f t="shared" si="1"/>
        <v>3.2999999999999996E-5</v>
      </c>
      <c r="H9" s="20">
        <f t="shared" si="3"/>
        <v>0.62656542050780195</v>
      </c>
    </row>
    <row r="10" spans="1:8" ht="37.5" customHeight="1" thickBot="1" x14ac:dyDescent="0.2">
      <c r="A10" s="13">
        <v>1.31</v>
      </c>
      <c r="B10" s="27">
        <v>57</v>
      </c>
      <c r="C10" s="17">
        <v>0.98</v>
      </c>
      <c r="D10" s="26">
        <f t="shared" si="0"/>
        <v>12.8467115</v>
      </c>
      <c r="E10" s="18">
        <f t="shared" ref="E10:E17" si="4">(D10*$C$4*$D$4)/($A$4+$C$4)</f>
        <v>2106.5755203729186</v>
      </c>
      <c r="F10" s="19">
        <f t="shared" si="2"/>
        <v>12.741114705815274</v>
      </c>
      <c r="G10" s="22">
        <f t="shared" si="1"/>
        <v>5.6999999999999996E-5</v>
      </c>
      <c r="H10" s="20">
        <f t="shared" si="3"/>
        <v>1.0133341985990376</v>
      </c>
    </row>
    <row r="11" spans="1:8" ht="37.5" customHeight="1" thickBot="1" x14ac:dyDescent="0.2">
      <c r="A11" s="13">
        <v>1.81</v>
      </c>
      <c r="B11" s="27">
        <v>82</v>
      </c>
      <c r="C11" s="17">
        <v>1.39</v>
      </c>
      <c r="D11" s="26">
        <f t="shared" si="0"/>
        <v>17.7500365</v>
      </c>
      <c r="E11" s="18">
        <f t="shared" si="4"/>
        <v>2910.6119785305214</v>
      </c>
      <c r="F11" s="19">
        <f t="shared" si="2"/>
        <v>17.604135585897442</v>
      </c>
      <c r="G11" s="22">
        <f t="shared" si="1"/>
        <v>8.2000000000000001E-5</v>
      </c>
      <c r="H11" s="20">
        <f t="shared" si="3"/>
        <v>1.4001029766902735</v>
      </c>
    </row>
    <row r="12" spans="1:8" ht="37.5" customHeight="1" thickBot="1" x14ac:dyDescent="0.2">
      <c r="A12" s="13">
        <v>2.31</v>
      </c>
      <c r="B12" s="27">
        <v>106</v>
      </c>
      <c r="C12" s="17">
        <v>1.774</v>
      </c>
      <c r="D12" s="26">
        <f t="shared" si="0"/>
        <v>22.653361499999999</v>
      </c>
      <c r="E12" s="18">
        <f t="shared" si="4"/>
        <v>3714.6484366881241</v>
      </c>
      <c r="F12" s="19">
        <f t="shared" si="2"/>
        <v>22.46715646597961</v>
      </c>
      <c r="G12" s="22">
        <f t="shared" si="1"/>
        <v>1.06E-4</v>
      </c>
      <c r="H12" s="20">
        <f t="shared" si="3"/>
        <v>1.7868717547815092</v>
      </c>
    </row>
    <row r="13" spans="1:8" ht="37.5" customHeight="1" thickBot="1" x14ac:dyDescent="0.2">
      <c r="A13" s="13">
        <v>2.81</v>
      </c>
      <c r="B13" s="27">
        <v>129</v>
      </c>
      <c r="C13" s="17">
        <v>2.1539999999999999</v>
      </c>
      <c r="D13" s="26">
        <f t="shared" si="0"/>
        <v>27.556686499999998</v>
      </c>
      <c r="E13" s="18">
        <f t="shared" si="4"/>
        <v>4518.6848948457264</v>
      </c>
      <c r="F13" s="19">
        <f t="shared" si="2"/>
        <v>27.330177346061774</v>
      </c>
      <c r="G13" s="22">
        <f t="shared" si="1"/>
        <v>1.2899999999999999E-4</v>
      </c>
      <c r="H13" s="20">
        <f t="shared" si="3"/>
        <v>2.1736405328727448</v>
      </c>
    </row>
    <row r="14" spans="1:8" ht="37.5" customHeight="1" thickBot="1" x14ac:dyDescent="0.2">
      <c r="A14" s="13">
        <v>3.31</v>
      </c>
      <c r="B14" s="27">
        <v>154</v>
      </c>
      <c r="C14" s="17">
        <v>2.544</v>
      </c>
      <c r="D14" s="26">
        <f t="shared" si="0"/>
        <v>32.4600115</v>
      </c>
      <c r="E14" s="18">
        <f t="shared" si="4"/>
        <v>5322.7213530033296</v>
      </c>
      <c r="F14" s="19">
        <f t="shared" si="2"/>
        <v>32.193198226143942</v>
      </c>
      <c r="G14" s="22">
        <f t="shared" si="1"/>
        <v>1.54E-4</v>
      </c>
      <c r="H14" s="20">
        <f t="shared" si="3"/>
        <v>2.5604093109639807</v>
      </c>
    </row>
    <row r="15" spans="1:8" ht="37.5" customHeight="1" thickBot="1" x14ac:dyDescent="0.2">
      <c r="A15" s="13">
        <v>3.81</v>
      </c>
      <c r="B15" s="27">
        <v>177</v>
      </c>
      <c r="C15" s="17">
        <v>2.9239999999999999</v>
      </c>
      <c r="D15" s="26">
        <f t="shared" si="0"/>
        <v>37.363336499999996</v>
      </c>
      <c r="E15" s="18">
        <f t="shared" si="4"/>
        <v>6126.7578111609309</v>
      </c>
      <c r="F15" s="19">
        <f t="shared" si="2"/>
        <v>37.056219106226102</v>
      </c>
      <c r="G15" s="22">
        <f t="shared" si="1"/>
        <v>1.7699999999999999E-4</v>
      </c>
      <c r="H15" s="20">
        <f t="shared" si="3"/>
        <v>2.9471780890552162</v>
      </c>
    </row>
    <row r="16" spans="1:8" ht="37.5" customHeight="1" thickBot="1" x14ac:dyDescent="0.2">
      <c r="A16" s="13">
        <v>4.3099999999999996</v>
      </c>
      <c r="B16" s="27">
        <v>201</v>
      </c>
      <c r="C16" s="17">
        <v>3.3250000000000002</v>
      </c>
      <c r="D16" s="26">
        <f t="shared" si="0"/>
        <v>42.266661499999991</v>
      </c>
      <c r="E16" s="18">
        <f t="shared" si="4"/>
        <v>6930.7942693185332</v>
      </c>
      <c r="F16" s="19">
        <f t="shared" si="2"/>
        <v>41.91923998630827</v>
      </c>
      <c r="G16" s="22">
        <f t="shared" si="1"/>
        <v>2.0099999999999998E-4</v>
      </c>
      <c r="H16" s="20">
        <f t="shared" si="3"/>
        <v>3.3339468671464521</v>
      </c>
    </row>
    <row r="17" spans="1:8" ht="37.5" customHeight="1" thickBot="1" x14ac:dyDescent="0.2">
      <c r="A17" s="13">
        <v>4.8099999999999996</v>
      </c>
      <c r="B17" s="27">
        <v>226</v>
      </c>
      <c r="C17" s="17">
        <v>3.714</v>
      </c>
      <c r="D17" s="26">
        <f t="shared" si="0"/>
        <v>47.169986499999993</v>
      </c>
      <c r="E17" s="18">
        <f t="shared" si="4"/>
        <v>7734.8307274761355</v>
      </c>
      <c r="F17" s="19">
        <f t="shared" si="2"/>
        <v>46.78226086639043</v>
      </c>
      <c r="G17" s="22">
        <f t="shared" si="1"/>
        <v>2.2599999999999999E-4</v>
      </c>
      <c r="H17" s="20">
        <f t="shared" si="3"/>
        <v>3.7207156452376875</v>
      </c>
    </row>
  </sheetData>
  <phoneticPr fontId="1"/>
  <printOptions horizontalCentered="1"/>
  <pageMargins left="0.47244094488188981" right="0.23622047244094491" top="0.98425196850393704" bottom="0.98425196850393704" header="0.51181102362204722" footer="0.51181102362204722"/>
  <pageSetup paperSize="9" scale="95" orientation="portrait" verticalDpi="300" r:id="rId1"/>
  <headerFooter alignWithMargins="0">
    <oddHeader>&amp;L&amp;"ＭＳ ゴシック,標準"はりのたわみ試験実験結果</oddHeader>
  </headerFooter>
  <ignoredErrors>
    <ignoredError sqref="H2" evalErro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e38bde-8e5f-495f-b19b-dc89c064902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1BDA74F8EB01D4BADF9318A2C1D8E16" ma:contentTypeVersion="11" ma:contentTypeDescription="新しいドキュメントを作成します。" ma:contentTypeScope="" ma:versionID="9ba306b4ee37b0d322093f597fb029a7">
  <xsd:schema xmlns:xsd="http://www.w3.org/2001/XMLSchema" xmlns:xs="http://www.w3.org/2001/XMLSchema" xmlns:p="http://schemas.microsoft.com/office/2006/metadata/properties" xmlns:ns3="53e38bde-8e5f-495f-b19b-dc89c064902a" targetNamespace="http://schemas.microsoft.com/office/2006/metadata/properties" ma:root="true" ma:fieldsID="b859fbbcac6e69ef942e1b34665240e2" ns3:_="">
    <xsd:import namespace="53e38bde-8e5f-495f-b19b-dc89c06490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38bde-8e5f-495f-b19b-dc89c06490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E7E72D-FF4B-4243-9B28-AE580E6B33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3FDBE5-7798-477C-AED4-CAAA5405F4BC}">
  <ds:schemaRefs>
    <ds:schemaRef ds:uri="53e38bde-8e5f-495f-b19b-dc89c064902a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8163C78-BC1A-4E6D-B2ED-BBD9D9971C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e38bde-8e5f-495f-b19b-dc89c06490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2fe835d-5e95-4512-8ae0-a7b38af25fc8}" enabled="0" method="" siteId="{72fe835d-5e95-4512-8ae0-a7b38af25fc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グラフ</vt:lpstr>
      </vt:variant>
      <vt:variant>
        <vt:i4>4</vt:i4>
      </vt:variant>
    </vt:vector>
  </HeadingPairs>
  <TitlesOfParts>
    <vt:vector size="6" baseType="lpstr">
      <vt:lpstr>引張</vt:lpstr>
      <vt:lpstr>はり</vt:lpstr>
      <vt:lpstr>引張応力ひずみ線図</vt:lpstr>
      <vt:lpstr>引張縦ひずみ横ひずみ</vt:lpstr>
      <vt:lpstr>はり荷重たわみ線図</vt:lpstr>
      <vt:lpstr>はり応力ひずみ線図 </vt:lpstr>
    </vt:vector>
  </TitlesOfParts>
  <Company>長野工業高等専門学校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kita</dc:creator>
  <cp:lastModifiedBy>柳澤 奏太_長野</cp:lastModifiedBy>
  <cp:lastPrinted>2021-09-13T05:05:43Z</cp:lastPrinted>
  <dcterms:created xsi:type="dcterms:W3CDTF">2002-10-08T01:35:51Z</dcterms:created>
  <dcterms:modified xsi:type="dcterms:W3CDTF">2026-06-24T10:43:41Z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0x010100E1BDA74F8EB01D4BADF9318A2C1D8E16</vt:lpwstr>
  </property>
</Properties>
</file>